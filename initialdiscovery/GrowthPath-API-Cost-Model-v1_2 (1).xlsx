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" sheetId="1" r:id="rId5"/>
    <sheet state="visible" name="Tiers" sheetId="2" r:id="rId6"/>
    <sheet state="visible" name="GA4-GSC Tokens" sheetId="3" r:id="rId7"/>
  </sheets>
  <definedNames/>
  <calcPr/>
</workbook>
</file>

<file path=xl/sharedStrings.xml><?xml version="1.0" encoding="utf-8"?>
<sst xmlns="http://schemas.openxmlformats.org/spreadsheetml/2006/main" count="132" uniqueCount="125">
  <si>
    <t>GrowthPath — Per-Client API Cost &amp; Margin Model</t>
  </si>
  <si>
    <t>Single re-scan cadence · all costs are live formulas · edit the yellow input cells</t>
  </si>
  <si>
    <t xml:space="preserve">  API COST CONSTANTS  (per call — edit if pricing changes)</t>
  </si>
  <si>
    <t>Rank call cost — Maps (per ZCTA)</t>
  </si>
  <si>
    <t xml:space="preserve">  DFS Maps SERP · Decisions v4.31</t>
  </si>
  <si>
    <t>Rank call cost — Local Finder (per ZCTA)</t>
  </si>
  <si>
    <t xml:space="preserve">  DFS Local Finder · same as Maps</t>
  </si>
  <si>
    <t>GBP signal bundle (per scan, flat)</t>
  </si>
  <si>
    <t xml:space="preserve">  my_business_info + updates + reviews</t>
  </si>
  <si>
    <t>On-page / PageSpeed (per scan, flat)</t>
  </si>
  <si>
    <t xml:space="preserve">  DFS OnPage browser tier · per page</t>
  </si>
  <si>
    <t>Domain Authority / Moz (per scan, flat)</t>
  </si>
  <si>
    <t xml:space="preserve">  Moz bulk DA + RDs</t>
  </si>
  <si>
    <t>Citations / listings check (per scan)</t>
  </si>
  <si>
    <t xml:space="preserve">  DFS business_listings search</t>
  </si>
  <si>
    <t>AI cost — per chat message (cached)</t>
  </si>
  <si>
    <t xml:space="preserve">  Sonnet w/ prompt caching · ~$0.01-0.03</t>
  </si>
  <si>
    <t>AI cost — monthly narrative (per gen)</t>
  </si>
  <si>
    <t xml:space="preserve">  one generation/month · $0.05-0.15</t>
  </si>
  <si>
    <t xml:space="preserve">  SCAN COMPOSITION  (fixed structure — every keyword)</t>
  </si>
  <si>
    <t xml:space="preserve">  Every keyword is scanned on 2 surfaces (Maps + Local Finder) × 2 intent variants (near-me + city-modifier) = 4 rank calls per keyword PER ZCTA.</t>
  </si>
  <si>
    <t>Surfaces per keyword (Maps + LF)</t>
  </si>
  <si>
    <t>Variants per keyword (near-me + city)</t>
  </si>
  <si>
    <t>Rank calls per keyword, per ZCTA</t>
  </si>
  <si>
    <t xml:space="preserve">  CLIENT VARIABLES  ◄ THE LEVERS — change these</t>
  </si>
  <si>
    <t>Keywords scanned</t>
  </si>
  <si>
    <t xml:space="preserve">  owner-defined + discovered</t>
  </si>
  <si>
    <t>ZCTAs in grid</t>
  </si>
  <si>
    <t xml:space="preserve">  near-me cap 5 + city target 5</t>
  </si>
  <si>
    <t>Scans per year (single cadence)</t>
  </si>
  <si>
    <t xml:space="preserve">  1=annual, 4=quarterly, 12=monthly, 52=weekly</t>
  </si>
  <si>
    <t>AI chat messages per month</t>
  </si>
  <si>
    <t xml:space="preserve">  tier allotment: 50 / 100 / 200</t>
  </si>
  <si>
    <t>Months active in program</t>
  </si>
  <si>
    <t xml:space="preserve">  graduation model = 12</t>
  </si>
  <si>
    <t xml:space="preserve">  COST PER FULL SCAN  (one complete scan event)</t>
  </si>
  <si>
    <t>Rank calls per scan</t>
  </si>
  <si>
    <t>Rank-call cost per scan</t>
  </si>
  <si>
    <t>Flat signal cost per scan (GBP+OnPage+DA+Cit)</t>
  </si>
  <si>
    <t>TOTAL COST PER FULL SCAN</t>
  </si>
  <si>
    <t xml:space="preserve">  ANNUAL COST PER CLIENT  (over the program)</t>
  </si>
  <si>
    <t>AI chat messages per year</t>
  </si>
  <si>
    <t>AI chat cost per year</t>
  </si>
  <si>
    <t>Monthly narrative cost per year</t>
  </si>
  <si>
    <t>Scan cost per year (scans × cost/scan)</t>
  </si>
  <si>
    <t>TOTAL API COST PER CLIENT / YEAR</t>
  </si>
  <si>
    <t xml:space="preserve">  MARGIN BY TIER  (price − annual cost)</t>
  </si>
  <si>
    <t>Tier</t>
  </si>
  <si>
    <t>Price/yr</t>
  </si>
  <si>
    <t>API cost/yr</t>
  </si>
  <si>
    <t>Gross $</t>
  </si>
  <si>
    <t>Margin %</t>
  </si>
  <si>
    <t>Cost % of rev</t>
  </si>
  <si>
    <t>Standard</t>
  </si>
  <si>
    <t>Professional</t>
  </si>
  <si>
    <t>Growth</t>
  </si>
  <si>
    <t xml:space="preserve">  BREAK-EVEN  (max full scans/yr before a tier goes underwater)</t>
  </si>
  <si>
    <t xml:space="preserve">  How many full scans/yr can each tier absorb before API cost = price? Holds AI cost fixed; solves scans against the scan cost only.</t>
  </si>
  <si>
    <t>Fixed AI cost/yr</t>
  </si>
  <si>
    <t>$ left for scans</t>
  </si>
  <si>
    <t>Cost / scan</t>
  </si>
  <si>
    <t>Max scans/yr</t>
  </si>
  <si>
    <t>Blue = editable input · Black = formula · Yellow fill = change these. GrowthPath Analytics · Confidential · June 2026</t>
  </si>
  <si>
    <t>GrowthPath Tiers — Cost &amp; Margin</t>
  </si>
  <si>
    <t>Three live tiers · weekly tracking (52 scans/yr) · edit yellow cells to tune</t>
  </si>
  <si>
    <t>Basic  $149</t>
  </si>
  <si>
    <t>Premium  $199</t>
  </si>
  <si>
    <t>Elite  $249</t>
  </si>
  <si>
    <t>Price / year</t>
  </si>
  <si>
    <t>Keywords</t>
  </si>
  <si>
    <t>Scans per year (weekly)</t>
  </si>
  <si>
    <t>AI msgs / month</t>
  </si>
  <si>
    <t>Months active</t>
  </si>
  <si>
    <t>GA4 + GSC integrations (1=yes)</t>
  </si>
  <si>
    <t>Annual cost build-up</t>
  </si>
  <si>
    <t>Cost per full scan</t>
  </si>
  <si>
    <t>Scan cost / year</t>
  </si>
  <si>
    <t>AI chat / year</t>
  </si>
  <si>
    <t>Narrative / year</t>
  </si>
  <si>
    <t>GA4+GSC token add (if enabled)</t>
  </si>
  <si>
    <t>TOTAL COST / CLIENT / YEAR</t>
  </si>
  <si>
    <t>Margin (per-tier price)</t>
  </si>
  <si>
    <t>Gross $ / client / yr</t>
  </si>
  <si>
    <t>Cost as % of revenue</t>
  </si>
  <si>
    <t xml:space="preserve">  Green = pulled from Model + GA4-GSC Tokens sheets · Blue = editable input. All tiers: weekly performance tracking + monthly AI audit/summary.</t>
  </si>
  <si>
    <t>Growth Tier — Incremental Token Cost of GA4 + GSC</t>
  </si>
  <si>
    <t>OAuth + data pulls cost $0 in tokens. Cost = larger cached context + richer narrative + chat utilization.</t>
  </si>
  <si>
    <t xml:space="preserve">  SONNET TOKEN PRICING  (per 1M tokens — edit if pricing changes)</t>
  </si>
  <si>
    <t>Input — uncached ($ / 1M tokens)</t>
  </si>
  <si>
    <t xml:space="preserve">  Sonnet standard input</t>
  </si>
  <si>
    <t>Input — cache WRITE ($ / 1M)</t>
  </si>
  <si>
    <t xml:space="preserve">  1.25x input · paid once per refresh</t>
  </si>
  <si>
    <t>Input — cache READ ($ / 1M)</t>
  </si>
  <si>
    <t xml:space="preserve">  0.1x input · ~90% cheaper</t>
  </si>
  <si>
    <t>Output ($ / 1M tokens)</t>
  </si>
  <si>
    <t xml:space="preserve">  generated text · not cacheable</t>
  </si>
  <si>
    <t xml:space="preserve">  INCREMENTAL TOKEN SIZES  ◄ the GA4/GSC additions only</t>
  </si>
  <si>
    <t>Added GA4+GSC context (tokens, cached)</t>
  </si>
  <si>
    <t xml:space="preserve">  traffic + keyword data block added to prefix</t>
  </si>
  <si>
    <t>Context refreshes per year</t>
  </si>
  <si>
    <t xml:space="preserve">  GA4/GSC update daily; assume monthly cache refresh</t>
  </si>
  <si>
    <t>Added output per monthly narrative (tokens)</t>
  </si>
  <si>
    <t xml:space="preserve">  extra GA4/GSC interpretation in narrative</t>
  </si>
  <si>
    <t>Added input per chat msg — cache read (tokens)</t>
  </si>
  <si>
    <t xml:space="preserve">  same context, read from cache each msg</t>
  </si>
  <si>
    <t>Extra chat msgs/yr driven by GA4/GSC</t>
  </si>
  <si>
    <t xml:space="preserve">  e.g. +20/mo utilization within 200 cap</t>
  </si>
  <si>
    <t>Added output per extra chat msg (tokens)</t>
  </si>
  <si>
    <t xml:space="preserve">  answer length</t>
  </si>
  <si>
    <t xml:space="preserve">  INCREMENTAL ANNUAL COST PER CLIENT</t>
  </si>
  <si>
    <t>Cache-write cost (context × refreshes)</t>
  </si>
  <si>
    <t>Narrative extra output (12 × added tokens)</t>
  </si>
  <si>
    <t>Chat context cache-reads (extra msgs × ctx)</t>
  </si>
  <si>
    <t>Chat extra output (extra msgs × output)</t>
  </si>
  <si>
    <t>TOTAL ADDED TOKEN COST / CLIENT / YEAR</t>
  </si>
  <si>
    <t xml:space="preserve">  IMPACT ON GROWTH TIER ($249)</t>
  </si>
  <si>
    <t>Metric</t>
  </si>
  <si>
    <t>Before</t>
  </si>
  <si>
    <t>After GA4/GSC</t>
  </si>
  <si>
    <t>Delta</t>
  </si>
  <si>
    <t>API cost / client / yr</t>
  </si>
  <si>
    <t>Margin $ @ $249</t>
  </si>
  <si>
    <t>Margin % @ $249</t>
  </si>
  <si>
    <t xml:space="preserve">  Note: GA4/GSC OAuth and data retrieval from Google cost $0 in Anthropic tokens. The only token cost is feeding that data into Claude for narrative + chat. Cache reads keep the recurring chat cost near-zero; the monthly narrative output is the main driver.</t>
  </si>
  <si>
    <t>Blue = editable · Black = formula · GrowthPath Analytics · Confidential · June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</si>
</sst>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$#,##0.0000"/>
    <numFmt numFmtId="165" formatCode="\$#,##0.00"/>
    <numFmt numFmtId="166" formatCode="\$#,##0"/>
    <numFmt numFmtId="167" formatCode="0.0%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1A1A1A"/>
      <name val="Arial"/>
    </font>
    <font>
      <sz val="10.0"/>
      <color rgb="FF6B6B6B"/>
      <name val="Arial"/>
    </font>
    <font/>
    <font>
      <b/>
      <sz val="11.0"/>
      <color rgb="FFFFFFFF"/>
      <name val="Arial"/>
    </font>
    <font>
      <sz val="10.0"/>
      <color rgb="FF1A1A1A"/>
      <name val="Arial"/>
    </font>
    <font>
      <b/>
      <sz val="10.0"/>
      <color rgb="FF0000FF"/>
      <name val="Arial"/>
    </font>
    <font>
      <i/>
      <sz val="9.0"/>
      <color rgb="FF6B6B6B"/>
      <name val="Arial"/>
    </font>
    <font>
      <b/>
      <sz val="10.0"/>
      <color rgb="FF000000"/>
      <name val="Arial"/>
    </font>
    <font>
      <b/>
      <sz val="10.0"/>
      <color rgb="FF1A1A1A"/>
      <name val="Arial"/>
    </font>
    <font>
      <sz val="10.0"/>
      <color rgb="FF000000"/>
      <name val="Arial"/>
    </font>
    <font>
      <b/>
      <sz val="12.0"/>
      <color rgb="FFFFFFFF"/>
      <name val="Arial"/>
    </font>
    <font>
      <b/>
      <sz val="10.0"/>
      <color rgb="FFB07D3A"/>
      <name val="Arial"/>
    </font>
    <font>
      <sz val="10.0"/>
      <color rgb="FF008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FFFFCC"/>
        <bgColor rgb="FFFFFFCC"/>
      </patternFill>
    </fill>
    <fill>
      <patternFill patternType="solid">
        <fgColor rgb="FFF5F4F1"/>
        <bgColor rgb="FFF5F4F1"/>
      </patternFill>
    </fill>
    <fill>
      <patternFill patternType="solid">
        <fgColor rgb="FFFAF3E6"/>
        <bgColor rgb="FFFAF3E6"/>
      </patternFill>
    </fill>
  </fills>
  <borders count="10">
    <border/>
    <border>
      <bottom style="medium">
        <color rgb="FFB07D3A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8D4CC"/>
      </left>
      <right style="thin">
        <color rgb="FFD8D4CC"/>
      </right>
      <top style="thin">
        <color rgb="FFD8D4CC"/>
      </top>
      <bottom style="thin">
        <color rgb="FFD8D4CC"/>
      </bottom>
    </border>
    <border>
      <left style="thin">
        <color rgb="FFD8D4CC"/>
      </left>
      <top style="thin">
        <color rgb="FFD8D4CC"/>
      </top>
      <bottom style="thin">
        <color rgb="FFD8D4CC"/>
      </bottom>
    </border>
    <border>
      <top style="thin">
        <color rgb="FFD8D4CC"/>
      </top>
      <bottom style="thin">
        <color rgb="FFD8D4CC"/>
      </bottom>
    </border>
    <border>
      <right style="thin">
        <color rgb="FFD8D4CC"/>
      </right>
      <top style="thin">
        <color rgb="FFD8D4CC"/>
      </top>
      <bottom style="thin">
        <color rgb="FFD8D4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1" fillId="0" fontId="4" numFmtId="0" xfId="0" applyBorder="1" applyFont="1"/>
    <xf borderId="2" fillId="2" fontId="5" numFmtId="0" xfId="0" applyAlignment="1" applyBorder="1" applyFill="1" applyFont="1">
      <alignment horizontal="left" shrinkToFit="0" vertical="center" wrapText="0"/>
    </xf>
    <xf borderId="3" fillId="0" fontId="4" numFmtId="0" xfId="0" applyBorder="1" applyFont="1"/>
    <xf borderId="4" fillId="0" fontId="4" numFmtId="0" xfId="0" applyBorder="1" applyFont="1"/>
    <xf borderId="5" fillId="0" fontId="6" numFmtId="0" xfId="0" applyAlignment="1" applyBorder="1" applyFont="1">
      <alignment horizontal="left" shrinkToFit="0" vertical="center" wrapText="0"/>
    </xf>
    <xf borderId="5" fillId="3" fontId="7" numFmtId="164" xfId="0" applyAlignment="1" applyBorder="1" applyFill="1" applyFont="1" applyNumberFormat="1">
      <alignment horizontal="center" shrinkToFit="0" vertical="center" wrapText="0"/>
    </xf>
    <xf borderId="6" fillId="0" fontId="8" numFmtId="0" xfId="0" applyAlignment="1" applyBorder="1" applyFont="1">
      <alignment horizontal="left" shrinkToFit="0" vertical="center" wrapText="0"/>
    </xf>
    <xf borderId="7" fillId="0" fontId="4" numFmtId="0" xfId="0" applyBorder="1" applyFont="1"/>
    <xf borderId="8" fillId="0" fontId="4" numFmtId="0" xfId="0" applyBorder="1" applyFont="1"/>
    <xf borderId="5" fillId="4" fontId="6" numFmtId="0" xfId="0" applyAlignment="1" applyBorder="1" applyFill="1" applyFont="1">
      <alignment horizontal="left" shrinkToFit="0" vertical="center" wrapText="0"/>
    </xf>
    <xf borderId="6" fillId="4" fontId="8" numFmtId="0" xfId="0" applyAlignment="1" applyBorder="1" applyFont="1">
      <alignment horizontal="left" shrinkToFit="0" vertical="center" wrapText="0"/>
    </xf>
    <xf borderId="0" fillId="0" fontId="8" numFmtId="0" xfId="0" applyAlignment="1" applyFont="1">
      <alignment horizontal="left" shrinkToFit="0" vertical="center" wrapText="1"/>
    </xf>
    <xf borderId="5" fillId="3" fontId="7" numFmtId="3" xfId="0" applyAlignment="1" applyBorder="1" applyFont="1" applyNumberFormat="1">
      <alignment horizontal="center" shrinkToFit="0" vertical="center" wrapText="0"/>
    </xf>
    <xf borderId="5" fillId="0" fontId="1" numFmtId="0" xfId="0" applyAlignment="1" applyBorder="1" applyFont="1">
      <alignment shrinkToFit="0" vertical="bottom" wrapText="0"/>
    </xf>
    <xf borderId="5" fillId="4" fontId="1" numFmtId="0" xfId="0" applyAlignment="1" applyBorder="1" applyFont="1">
      <alignment shrinkToFit="0" vertical="bottom" wrapText="0"/>
    </xf>
    <xf borderId="5" fillId="0" fontId="9" numFmtId="3" xfId="0" applyAlignment="1" applyBorder="1" applyFont="1" applyNumberFormat="1">
      <alignment horizontal="center" shrinkToFit="0" vertical="center" wrapText="0"/>
    </xf>
    <xf borderId="5" fillId="0" fontId="10" numFmtId="0" xfId="0" applyAlignment="1" applyBorder="1" applyFont="1">
      <alignment horizontal="left" shrinkToFit="0" vertical="center" wrapText="0"/>
    </xf>
    <xf borderId="5" fillId="4" fontId="10" numFmtId="0" xfId="0" applyAlignment="1" applyBorder="1" applyFont="1">
      <alignment horizontal="left" shrinkToFit="0" vertical="center" wrapText="0"/>
    </xf>
    <xf borderId="5" fillId="3" fontId="7" numFmtId="3" xfId="0" applyAlignment="1" applyBorder="1" applyFont="1" applyNumberFormat="1">
      <alignment horizontal="center" readingOrder="0" shrinkToFit="0" vertical="center" wrapText="0"/>
    </xf>
    <xf borderId="5" fillId="0" fontId="11" numFmtId="3" xfId="0" applyAlignment="1" applyBorder="1" applyFont="1" applyNumberFormat="1">
      <alignment horizontal="center" shrinkToFit="0" vertical="center" wrapText="0"/>
    </xf>
    <xf borderId="5" fillId="4" fontId="11" numFmtId="164" xfId="0" applyAlignment="1" applyBorder="1" applyFont="1" applyNumberFormat="1">
      <alignment horizontal="center" shrinkToFit="0" vertical="center" wrapText="0"/>
    </xf>
    <xf borderId="5" fillId="0" fontId="11" numFmtId="164" xfId="0" applyAlignment="1" applyBorder="1" applyFont="1" applyNumberFormat="1">
      <alignment horizontal="center" shrinkToFit="0" vertical="center" wrapText="0"/>
    </xf>
    <xf borderId="5" fillId="5" fontId="9" numFmtId="0" xfId="0" applyAlignment="1" applyBorder="1" applyFill="1" applyFont="1">
      <alignment horizontal="left" shrinkToFit="0" vertical="center" wrapText="0"/>
    </xf>
    <xf borderId="5" fillId="5" fontId="9" numFmtId="164" xfId="0" applyAlignment="1" applyBorder="1" applyFont="1" applyNumberFormat="1">
      <alignment horizontal="center" shrinkToFit="0" vertical="center" wrapText="0"/>
    </xf>
    <xf borderId="5" fillId="5" fontId="1" numFmtId="0" xfId="0" applyAlignment="1" applyBorder="1" applyFont="1">
      <alignment shrinkToFit="0" vertical="bottom" wrapText="0"/>
    </xf>
    <xf borderId="5" fillId="4" fontId="11" numFmtId="165" xfId="0" applyAlignment="1" applyBorder="1" applyFont="1" applyNumberFormat="1">
      <alignment horizontal="center" shrinkToFit="0" vertical="center" wrapText="0"/>
    </xf>
    <xf borderId="5" fillId="0" fontId="11" numFmtId="165" xfId="0" applyAlignment="1" applyBorder="1" applyFont="1" applyNumberFormat="1">
      <alignment horizontal="center" shrinkToFit="0" vertical="center" wrapText="0"/>
    </xf>
    <xf borderId="5" fillId="5" fontId="9" numFmtId="165" xfId="0" applyAlignment="1" applyBorder="1" applyFont="1" applyNumberFormat="1">
      <alignment horizontal="center" shrinkToFit="0" vertical="center" wrapText="0"/>
    </xf>
    <xf borderId="5" fillId="5" fontId="10" numFmtId="0" xfId="0" applyAlignment="1" applyBorder="1" applyFont="1">
      <alignment horizontal="center" shrinkToFit="0" vertical="center" wrapText="0"/>
    </xf>
    <xf borderId="5" fillId="3" fontId="7" numFmtId="166" xfId="0" applyAlignment="1" applyBorder="1" applyFont="1" applyNumberFormat="1">
      <alignment horizontal="center" shrinkToFit="0" vertical="center" wrapText="0"/>
    </xf>
    <xf borderId="5" fillId="0" fontId="11" numFmtId="167" xfId="0" applyAlignment="1" applyBorder="1" applyFont="1" applyNumberFormat="1">
      <alignment horizontal="center" shrinkToFit="0" vertical="center" wrapText="0"/>
    </xf>
    <xf borderId="5" fillId="4" fontId="11" numFmtId="167" xfId="0" applyAlignment="1" applyBorder="1" applyFont="1" applyNumberFormat="1">
      <alignment horizontal="center" shrinkToFit="0" vertical="center" wrapText="0"/>
    </xf>
    <xf borderId="5" fillId="0" fontId="11" numFmtId="166" xfId="0" applyAlignment="1" applyBorder="1" applyFont="1" applyNumberFormat="1">
      <alignment horizontal="center" shrinkToFit="0" vertical="center" wrapText="0"/>
    </xf>
    <xf borderId="5" fillId="4" fontId="11" numFmtId="166" xfId="0" applyAlignment="1" applyBorder="1" applyFont="1" applyNumberFormat="1">
      <alignment horizontal="center" shrinkToFit="0" vertical="center" wrapText="0"/>
    </xf>
    <xf borderId="5" fillId="4" fontId="9" numFmtId="3" xfId="0" applyAlignment="1" applyBorder="1" applyFont="1" applyNumberFormat="1">
      <alignment horizontal="center" shrinkToFit="0" vertical="center" wrapText="0"/>
    </xf>
    <xf borderId="0" fillId="0" fontId="8" numFmtId="0" xfId="0" applyAlignment="1" applyFont="1">
      <alignment horizontal="left" shrinkToFit="0" vertical="center" wrapText="0"/>
    </xf>
    <xf borderId="0" fillId="0" fontId="10" numFmtId="0" xfId="0" applyAlignment="1" applyFont="1">
      <alignment horizontal="left" shrinkToFit="0" vertical="center" wrapText="0"/>
    </xf>
    <xf borderId="9" fillId="2" fontId="12" numFmtId="0" xfId="0" applyAlignment="1" applyBorder="1" applyFont="1">
      <alignment horizontal="center" shrinkToFit="0" vertical="center" wrapText="0"/>
    </xf>
    <xf borderId="0" fillId="0" fontId="13" numFmtId="0" xfId="0" applyAlignment="1" applyFont="1">
      <alignment horizontal="left" shrinkToFit="0" vertical="center" wrapText="0"/>
    </xf>
    <xf borderId="5" fillId="0" fontId="14" numFmtId="164" xfId="0" applyAlignment="1" applyBorder="1" applyFont="1" applyNumberFormat="1">
      <alignment horizontal="center" shrinkToFit="0" vertical="center" wrapText="0"/>
    </xf>
    <xf borderId="5" fillId="4" fontId="14" numFmtId="165" xfId="0" applyAlignment="1" applyBorder="1" applyFont="1" applyNumberFormat="1">
      <alignment horizontal="center" shrinkToFit="0" vertical="center" wrapText="0"/>
    </xf>
    <xf borderId="5" fillId="0" fontId="14" numFmtId="165" xfId="0" applyAlignment="1" applyBorder="1" applyFont="1" applyNumberFormat="1">
      <alignment horizontal="center" shrinkToFit="0" vertical="center" wrapText="0"/>
    </xf>
    <xf borderId="5" fillId="0" fontId="9" numFmtId="165" xfId="0" applyAlignment="1" applyBorder="1" applyFont="1" applyNumberFormat="1">
      <alignment horizontal="center" shrinkToFit="0" vertical="center" wrapText="0"/>
    </xf>
    <xf borderId="5" fillId="4" fontId="9" numFmtId="167" xfId="0" applyAlignment="1" applyBorder="1" applyFont="1" applyNumberFormat="1">
      <alignment horizontal="center" shrinkToFit="0" vertical="center" wrapText="0"/>
    </xf>
    <xf borderId="5" fillId="3" fontId="7" numFmtId="165" xfId="0" applyAlignment="1" applyBorder="1" applyFont="1" applyNumberFormat="1">
      <alignment horizontal="center" shrinkToFit="0" vertical="center" wrapText="0"/>
    </xf>
    <xf borderId="5" fillId="4" fontId="9" numFmtId="165" xfId="0" applyAlignment="1" applyBorder="1" applyFont="1" applyNumberFormat="1">
      <alignment horizontal="center" shrinkToFit="0" vertical="center" wrapText="0"/>
    </xf>
    <xf borderId="5" fillId="0" fontId="9" numFmtId="167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4.0"/>
    <col customWidth="1" min="3" max="7" width="16.0"/>
    <col customWidth="1" min="8" max="26" width="8.71"/>
  </cols>
  <sheetData>
    <row r="1">
      <c r="A1" s="1"/>
      <c r="B1" s="1"/>
      <c r="C1" s="1"/>
      <c r="D1" s="1"/>
      <c r="E1" s="1"/>
      <c r="F1" s="1"/>
      <c r="G1" s="1"/>
      <c r="H1" s="1"/>
    </row>
    <row r="2" ht="19.5" customHeight="1">
      <c r="A2" s="1"/>
      <c r="B2" s="2" t="s">
        <v>0</v>
      </c>
      <c r="H2" s="1"/>
    </row>
    <row r="3" ht="15.0" customHeight="1">
      <c r="A3" s="1"/>
      <c r="B3" s="3" t="s">
        <v>1</v>
      </c>
      <c r="C3" s="4"/>
      <c r="D3" s="4"/>
      <c r="E3" s="4"/>
      <c r="F3" s="4"/>
      <c r="G3" s="4"/>
      <c r="H3" s="1"/>
    </row>
    <row r="4">
      <c r="A4" s="1"/>
      <c r="B4" s="1"/>
      <c r="C4" s="1"/>
      <c r="D4" s="1"/>
      <c r="E4" s="1"/>
      <c r="F4" s="1"/>
      <c r="G4" s="1"/>
      <c r="H4" s="1"/>
    </row>
    <row r="5" ht="19.5" customHeight="1">
      <c r="A5" s="1"/>
      <c r="B5" s="5" t="s">
        <v>2</v>
      </c>
      <c r="C5" s="6"/>
      <c r="D5" s="6"/>
      <c r="E5" s="6"/>
      <c r="F5" s="6"/>
      <c r="G5" s="7"/>
      <c r="H5" s="1"/>
    </row>
    <row r="6" ht="15.0" customHeight="1">
      <c r="A6" s="1"/>
      <c r="B6" s="8" t="s">
        <v>3</v>
      </c>
      <c r="C6" s="9">
        <v>0.002</v>
      </c>
      <c r="D6" s="10" t="s">
        <v>4</v>
      </c>
      <c r="E6" s="11"/>
      <c r="F6" s="11"/>
      <c r="G6" s="12"/>
      <c r="H6" s="1"/>
    </row>
    <row r="7" ht="15.0" customHeight="1">
      <c r="A7" s="1"/>
      <c r="B7" s="13" t="s">
        <v>5</v>
      </c>
      <c r="C7" s="9">
        <v>0.002</v>
      </c>
      <c r="D7" s="14" t="s">
        <v>6</v>
      </c>
      <c r="E7" s="11"/>
      <c r="F7" s="11"/>
      <c r="G7" s="12"/>
      <c r="H7" s="1"/>
    </row>
    <row r="8" ht="15.0" customHeight="1">
      <c r="A8" s="1"/>
      <c r="B8" s="8" t="s">
        <v>7</v>
      </c>
      <c r="C8" s="9">
        <v>0.015</v>
      </c>
      <c r="D8" s="10" t="s">
        <v>8</v>
      </c>
      <c r="E8" s="11"/>
      <c r="F8" s="11"/>
      <c r="G8" s="12"/>
      <c r="H8" s="1"/>
    </row>
    <row r="9" ht="15.0" customHeight="1">
      <c r="A9" s="1"/>
      <c r="B9" s="13" t="s">
        <v>9</v>
      </c>
      <c r="C9" s="9">
        <v>0.00425</v>
      </c>
      <c r="D9" s="14" t="s">
        <v>10</v>
      </c>
      <c r="E9" s="11"/>
      <c r="F9" s="11"/>
      <c r="G9" s="12"/>
      <c r="H9" s="1"/>
    </row>
    <row r="10" ht="15.0" customHeight="1">
      <c r="A10" s="1"/>
      <c r="B10" s="8" t="s">
        <v>11</v>
      </c>
      <c r="C10" s="9">
        <v>0.01</v>
      </c>
      <c r="D10" s="10" t="s">
        <v>12</v>
      </c>
      <c r="E10" s="11"/>
      <c r="F10" s="11"/>
      <c r="G10" s="12"/>
      <c r="H10" s="1"/>
    </row>
    <row r="11" ht="15.0" customHeight="1">
      <c r="A11" s="1"/>
      <c r="B11" s="13" t="s">
        <v>13</v>
      </c>
      <c r="C11" s="9">
        <v>0.01</v>
      </c>
      <c r="D11" s="14" t="s">
        <v>14</v>
      </c>
      <c r="E11" s="11"/>
      <c r="F11" s="11"/>
      <c r="G11" s="12"/>
      <c r="H11" s="1"/>
    </row>
    <row r="12" ht="15.0" customHeight="1">
      <c r="A12" s="1"/>
      <c r="B12" s="8" t="s">
        <v>15</v>
      </c>
      <c r="C12" s="9">
        <v>0.02</v>
      </c>
      <c r="D12" s="10" t="s">
        <v>16</v>
      </c>
      <c r="E12" s="11"/>
      <c r="F12" s="11"/>
      <c r="G12" s="12"/>
      <c r="H12" s="1"/>
    </row>
    <row r="13" ht="15.0" customHeight="1">
      <c r="A13" s="1"/>
      <c r="B13" s="13" t="s">
        <v>17</v>
      </c>
      <c r="C13" s="9">
        <v>0.1</v>
      </c>
      <c r="D13" s="14" t="s">
        <v>18</v>
      </c>
      <c r="E13" s="11"/>
      <c r="F13" s="11"/>
      <c r="G13" s="12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 ht="19.5" customHeight="1">
      <c r="A15" s="1"/>
      <c r="B15" s="5" t="s">
        <v>19</v>
      </c>
      <c r="C15" s="6"/>
      <c r="D15" s="6"/>
      <c r="E15" s="6"/>
      <c r="F15" s="6"/>
      <c r="G15" s="7"/>
      <c r="H15" s="1"/>
    </row>
    <row r="16" ht="27.75" customHeight="1">
      <c r="A16" s="1"/>
      <c r="B16" s="15" t="s">
        <v>20</v>
      </c>
      <c r="H16" s="1"/>
    </row>
    <row r="17" ht="15.0" customHeight="1">
      <c r="A17" s="1"/>
      <c r="B17" s="8" t="s">
        <v>21</v>
      </c>
      <c r="C17" s="16">
        <v>2.0</v>
      </c>
      <c r="D17" s="17"/>
      <c r="E17" s="17"/>
      <c r="F17" s="17"/>
      <c r="G17" s="17"/>
      <c r="H17" s="1"/>
    </row>
    <row r="18" ht="15.0" customHeight="1">
      <c r="A18" s="1"/>
      <c r="B18" s="13" t="s">
        <v>22</v>
      </c>
      <c r="C18" s="16">
        <v>2.0</v>
      </c>
      <c r="D18" s="18"/>
      <c r="E18" s="18"/>
      <c r="F18" s="18"/>
      <c r="G18" s="18"/>
      <c r="H18" s="1"/>
    </row>
    <row r="19" ht="15.0" customHeight="1">
      <c r="A19" s="1"/>
      <c r="B19" s="8" t="s">
        <v>23</v>
      </c>
      <c r="C19" s="19">
        <f>C17*C18</f>
        <v>4</v>
      </c>
      <c r="D19" s="17"/>
      <c r="E19" s="17"/>
      <c r="F19" s="17"/>
      <c r="G19" s="17"/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 ht="19.5" customHeight="1">
      <c r="A21" s="1"/>
      <c r="B21" s="5" t="s">
        <v>24</v>
      </c>
      <c r="C21" s="6"/>
      <c r="D21" s="6"/>
      <c r="E21" s="6"/>
      <c r="F21" s="6"/>
      <c r="G21" s="7"/>
      <c r="H21" s="1"/>
    </row>
    <row r="22" ht="15.0" customHeight="1">
      <c r="A22" s="1"/>
      <c r="B22" s="20" t="s">
        <v>25</v>
      </c>
      <c r="C22" s="16">
        <v>5.0</v>
      </c>
      <c r="D22" s="10" t="s">
        <v>26</v>
      </c>
      <c r="E22" s="11"/>
      <c r="F22" s="11"/>
      <c r="G22" s="12"/>
      <c r="H22" s="1"/>
    </row>
    <row r="23" ht="15.0" customHeight="1">
      <c r="A23" s="1"/>
      <c r="B23" s="21" t="s">
        <v>27</v>
      </c>
      <c r="C23" s="22">
        <v>20.0</v>
      </c>
      <c r="D23" s="14" t="s">
        <v>28</v>
      </c>
      <c r="E23" s="11"/>
      <c r="F23" s="11"/>
      <c r="G23" s="12"/>
      <c r="H23" s="1"/>
    </row>
    <row r="24" ht="15.0" customHeight="1">
      <c r="A24" s="1"/>
      <c r="B24" s="20" t="s">
        <v>29</v>
      </c>
      <c r="C24" s="22">
        <v>52.0</v>
      </c>
      <c r="D24" s="10" t="s">
        <v>30</v>
      </c>
      <c r="E24" s="11"/>
      <c r="F24" s="11"/>
      <c r="G24" s="12"/>
      <c r="H24" s="1"/>
    </row>
    <row r="25" ht="15.0" customHeight="1">
      <c r="A25" s="1"/>
      <c r="B25" s="21" t="s">
        <v>31</v>
      </c>
      <c r="C25" s="22">
        <v>100.0</v>
      </c>
      <c r="D25" s="14" t="s">
        <v>32</v>
      </c>
      <c r="E25" s="11"/>
      <c r="F25" s="11"/>
      <c r="G25" s="12"/>
      <c r="H25" s="1"/>
    </row>
    <row r="26" ht="15.0" customHeight="1">
      <c r="A26" s="1"/>
      <c r="B26" s="20" t="s">
        <v>33</v>
      </c>
      <c r="C26" s="16">
        <v>12.0</v>
      </c>
      <c r="D26" s="10" t="s">
        <v>34</v>
      </c>
      <c r="E26" s="11"/>
      <c r="F26" s="11"/>
      <c r="G26" s="12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9.5" customHeight="1">
      <c r="A28" s="1"/>
      <c r="B28" s="5" t="s">
        <v>35</v>
      </c>
      <c r="C28" s="6"/>
      <c r="D28" s="6"/>
      <c r="E28" s="6"/>
      <c r="F28" s="6"/>
      <c r="G28" s="7"/>
      <c r="H28" s="1"/>
    </row>
    <row r="29" ht="15.0" customHeight="1">
      <c r="A29" s="1"/>
      <c r="B29" s="8" t="s">
        <v>36</v>
      </c>
      <c r="C29" s="23">
        <f>$C$22*$C$19*$C$23</f>
        <v>400</v>
      </c>
      <c r="D29" s="17"/>
      <c r="E29" s="17"/>
      <c r="F29" s="17"/>
      <c r="G29" s="17"/>
      <c r="H29" s="1"/>
    </row>
    <row r="30" ht="15.0" customHeight="1">
      <c r="A30" s="1"/>
      <c r="B30" s="13" t="s">
        <v>37</v>
      </c>
      <c r="C30" s="24">
        <f>($C$22*$C$6*$C$23)+($C$22*$C$7*$C$23)</f>
        <v>0.4</v>
      </c>
      <c r="D30" s="18"/>
      <c r="E30" s="18"/>
      <c r="F30" s="18"/>
      <c r="G30" s="18"/>
      <c r="H30" s="1"/>
    </row>
    <row r="31" ht="15.0" customHeight="1">
      <c r="A31" s="1"/>
      <c r="B31" s="8" t="s">
        <v>38</v>
      </c>
      <c r="C31" s="25">
        <f>$C$8+$C$9+$C$10+$C$11</f>
        <v>0.03925</v>
      </c>
      <c r="D31" s="17"/>
      <c r="E31" s="17"/>
      <c r="F31" s="17"/>
      <c r="G31" s="17"/>
      <c r="H31" s="1"/>
    </row>
    <row r="32" ht="15.0" customHeight="1">
      <c r="A32" s="1"/>
      <c r="B32" s="26" t="s">
        <v>39</v>
      </c>
      <c r="C32" s="27">
        <f>C30+C31</f>
        <v>0.43925</v>
      </c>
      <c r="D32" s="28"/>
      <c r="E32" s="28"/>
      <c r="F32" s="28"/>
      <c r="G32" s="28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9.5" customHeight="1">
      <c r="A34" s="1"/>
      <c r="B34" s="5" t="s">
        <v>40</v>
      </c>
      <c r="C34" s="6"/>
      <c r="D34" s="6"/>
      <c r="E34" s="6"/>
      <c r="F34" s="6"/>
      <c r="G34" s="7"/>
      <c r="H34" s="1"/>
    </row>
    <row r="35" ht="15.0" customHeight="1">
      <c r="A35" s="1"/>
      <c r="B35" s="8" t="s">
        <v>41</v>
      </c>
      <c r="C35" s="23">
        <f>$C$25*$C$26</f>
        <v>1200</v>
      </c>
      <c r="D35" s="17"/>
      <c r="E35" s="17"/>
      <c r="F35" s="17"/>
      <c r="G35" s="17"/>
      <c r="H35" s="1"/>
    </row>
    <row r="36" ht="15.0" customHeight="1">
      <c r="A36" s="1"/>
      <c r="B36" s="13" t="s">
        <v>42</v>
      </c>
      <c r="C36" s="29">
        <f>C35*$C$12</f>
        <v>24</v>
      </c>
      <c r="D36" s="18"/>
      <c r="E36" s="18"/>
      <c r="F36" s="18"/>
      <c r="G36" s="18"/>
      <c r="H36" s="1"/>
    </row>
    <row r="37" ht="15.0" customHeight="1">
      <c r="A37" s="1"/>
      <c r="B37" s="8" t="s">
        <v>43</v>
      </c>
      <c r="C37" s="30">
        <f>$C$26*$C$13</f>
        <v>1.2</v>
      </c>
      <c r="D37" s="17"/>
      <c r="E37" s="17"/>
      <c r="F37" s="17"/>
      <c r="G37" s="17"/>
      <c r="H37" s="1"/>
    </row>
    <row r="38" ht="15.0" customHeight="1">
      <c r="A38" s="1"/>
      <c r="B38" s="13" t="s">
        <v>44</v>
      </c>
      <c r="C38" s="29">
        <f>$C$24*$C$32</f>
        <v>22.841</v>
      </c>
      <c r="D38" s="18"/>
      <c r="E38" s="18"/>
      <c r="F38" s="18"/>
      <c r="G38" s="18"/>
      <c r="H38" s="1"/>
    </row>
    <row r="39" ht="15.0" customHeight="1">
      <c r="A39" s="1"/>
      <c r="B39" s="26" t="s">
        <v>45</v>
      </c>
      <c r="C39" s="31">
        <f>C36+C37+C38</f>
        <v>48.041</v>
      </c>
      <c r="D39" s="28"/>
      <c r="E39" s="28"/>
      <c r="F39" s="28"/>
      <c r="G39" s="28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9.5" customHeight="1">
      <c r="A41" s="1"/>
      <c r="B41" s="5" t="s">
        <v>46</v>
      </c>
      <c r="C41" s="6"/>
      <c r="D41" s="6"/>
      <c r="E41" s="6"/>
      <c r="F41" s="6"/>
      <c r="G41" s="7"/>
      <c r="H41" s="1"/>
    </row>
    <row r="42" ht="15.0" customHeight="1">
      <c r="A42" s="1"/>
      <c r="B42" s="32" t="s">
        <v>47</v>
      </c>
      <c r="C42" s="32" t="s">
        <v>48</v>
      </c>
      <c r="D42" s="32" t="s">
        <v>49</v>
      </c>
      <c r="E42" s="32" t="s">
        <v>50</v>
      </c>
      <c r="F42" s="32" t="s">
        <v>51</v>
      </c>
      <c r="G42" s="32" t="s">
        <v>52</v>
      </c>
      <c r="H42" s="1"/>
    </row>
    <row r="43" ht="15.0" customHeight="1">
      <c r="A43" s="1"/>
      <c r="B43" s="20" t="s">
        <v>53</v>
      </c>
      <c r="C43" s="33">
        <v>149.0</v>
      </c>
      <c r="D43" s="30">
        <f t="shared" ref="D43:D45" si="1">$C$39</f>
        <v>48.041</v>
      </c>
      <c r="E43" s="30">
        <f t="shared" ref="E43:E45" si="2">C43-D43</f>
        <v>100.959</v>
      </c>
      <c r="F43" s="34">
        <f t="shared" ref="F43:F45" si="3">E43/C43</f>
        <v>0.6775771812</v>
      </c>
      <c r="G43" s="34">
        <f t="shared" ref="G43:G45" si="4">D43/C43</f>
        <v>0.3224228188</v>
      </c>
      <c r="H43" s="1"/>
    </row>
    <row r="44" ht="15.0" customHeight="1">
      <c r="A44" s="1"/>
      <c r="B44" s="21" t="s">
        <v>54</v>
      </c>
      <c r="C44" s="33">
        <v>199.0</v>
      </c>
      <c r="D44" s="29">
        <f t="shared" si="1"/>
        <v>48.041</v>
      </c>
      <c r="E44" s="29">
        <f t="shared" si="2"/>
        <v>150.959</v>
      </c>
      <c r="F44" s="35">
        <f t="shared" si="3"/>
        <v>0.7585879397</v>
      </c>
      <c r="G44" s="35">
        <f t="shared" si="4"/>
        <v>0.2414120603</v>
      </c>
      <c r="H44" s="1"/>
    </row>
    <row r="45" ht="15.0" customHeight="1">
      <c r="A45" s="1"/>
      <c r="B45" s="20" t="s">
        <v>55</v>
      </c>
      <c r="C45" s="33">
        <v>249.0</v>
      </c>
      <c r="D45" s="30">
        <f t="shared" si="1"/>
        <v>48.041</v>
      </c>
      <c r="E45" s="30">
        <f t="shared" si="2"/>
        <v>200.959</v>
      </c>
      <c r="F45" s="34">
        <f t="shared" si="3"/>
        <v>0.807064257</v>
      </c>
      <c r="G45" s="34">
        <f t="shared" si="4"/>
        <v>0.192935743</v>
      </c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9.5" customHeight="1">
      <c r="A47" s="1"/>
      <c r="B47" s="5" t="s">
        <v>56</v>
      </c>
      <c r="C47" s="6"/>
      <c r="D47" s="6"/>
      <c r="E47" s="6"/>
      <c r="F47" s="6"/>
      <c r="G47" s="7"/>
      <c r="H47" s="1"/>
    </row>
    <row r="48" ht="25.5" customHeight="1">
      <c r="A48" s="1"/>
      <c r="B48" s="15" t="s">
        <v>57</v>
      </c>
      <c r="H48" s="1"/>
    </row>
    <row r="49" ht="15.0" customHeight="1">
      <c r="A49" s="1"/>
      <c r="B49" s="32" t="s">
        <v>47</v>
      </c>
      <c r="C49" s="32" t="s">
        <v>48</v>
      </c>
      <c r="D49" s="32" t="s">
        <v>58</v>
      </c>
      <c r="E49" s="32" t="s">
        <v>59</v>
      </c>
      <c r="F49" s="32" t="s">
        <v>60</v>
      </c>
      <c r="G49" s="32" t="s">
        <v>61</v>
      </c>
      <c r="H49" s="1"/>
    </row>
    <row r="50" ht="15.0" customHeight="1">
      <c r="A50" s="1"/>
      <c r="B50" s="20" t="s">
        <v>53</v>
      </c>
      <c r="C50" s="36">
        <f t="shared" ref="C50:C52" si="5">C43</f>
        <v>149</v>
      </c>
      <c r="D50" s="30">
        <f>(C36+C37)</f>
        <v>25.2</v>
      </c>
      <c r="E50" s="30">
        <f t="shared" ref="E50:E52" si="6">C50-D50</f>
        <v>123.8</v>
      </c>
      <c r="F50" s="25">
        <f t="shared" ref="F50:F52" si="7">$C$32</f>
        <v>0.43925</v>
      </c>
      <c r="G50" s="19">
        <f t="shared" ref="G50:G52" si="8">IF(F50=0,0,ROUNDDOWN(E50/F50,0))</f>
        <v>281</v>
      </c>
      <c r="H50" s="1"/>
    </row>
    <row r="51" ht="15.0" customHeight="1">
      <c r="A51" s="1"/>
      <c r="B51" s="21" t="s">
        <v>54</v>
      </c>
      <c r="C51" s="37">
        <f t="shared" si="5"/>
        <v>199</v>
      </c>
      <c r="D51" s="29">
        <f>(C36+C37)</f>
        <v>25.2</v>
      </c>
      <c r="E51" s="29">
        <f t="shared" si="6"/>
        <v>173.8</v>
      </c>
      <c r="F51" s="24">
        <f t="shared" si="7"/>
        <v>0.43925</v>
      </c>
      <c r="G51" s="38">
        <f t="shared" si="8"/>
        <v>395</v>
      </c>
      <c r="H51" s="1"/>
    </row>
    <row r="52" ht="15.0" customHeight="1">
      <c r="A52" s="1"/>
      <c r="B52" s="20" t="s">
        <v>55</v>
      </c>
      <c r="C52" s="36">
        <f t="shared" si="5"/>
        <v>249</v>
      </c>
      <c r="D52" s="30">
        <f>(C36+C37)</f>
        <v>25.2</v>
      </c>
      <c r="E52" s="30">
        <f t="shared" si="6"/>
        <v>223.8</v>
      </c>
      <c r="F52" s="25">
        <f t="shared" si="7"/>
        <v>0.43925</v>
      </c>
      <c r="G52" s="19">
        <f t="shared" si="8"/>
        <v>509</v>
      </c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0" customHeight="1">
      <c r="A55" s="1"/>
      <c r="B55" s="39" t="s">
        <v>62</v>
      </c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25">
    <mergeCell ref="B2:G2"/>
    <mergeCell ref="B3:G3"/>
    <mergeCell ref="B5:G5"/>
    <mergeCell ref="D6:G6"/>
    <mergeCell ref="D7:G7"/>
    <mergeCell ref="D8:G8"/>
    <mergeCell ref="D9:G9"/>
    <mergeCell ref="D10:G10"/>
    <mergeCell ref="D11:G11"/>
    <mergeCell ref="D12:G12"/>
    <mergeCell ref="D13:G13"/>
    <mergeCell ref="B15:G15"/>
    <mergeCell ref="B16:G16"/>
    <mergeCell ref="B21:G21"/>
    <mergeCell ref="B41:G41"/>
    <mergeCell ref="B47:G47"/>
    <mergeCell ref="B48:G48"/>
    <mergeCell ref="B55:G55"/>
    <mergeCell ref="D22:G22"/>
    <mergeCell ref="D23:G23"/>
    <mergeCell ref="D24:G24"/>
    <mergeCell ref="D25:G25"/>
    <mergeCell ref="D26:G26"/>
    <mergeCell ref="B28:G28"/>
    <mergeCell ref="B34:G3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6.0"/>
    <col customWidth="1" min="3" max="5" width="17.0"/>
    <col customWidth="1" min="6" max="26" width="8.71"/>
  </cols>
  <sheetData>
    <row r="2">
      <c r="B2" s="2" t="s">
        <v>63</v>
      </c>
    </row>
    <row r="3">
      <c r="B3" s="3" t="s">
        <v>64</v>
      </c>
      <c r="C3" s="4"/>
      <c r="D3" s="4"/>
      <c r="E3" s="4"/>
    </row>
    <row r="5" ht="19.5" customHeight="1">
      <c r="B5" s="40"/>
      <c r="C5" s="41" t="s">
        <v>65</v>
      </c>
      <c r="D5" s="41" t="s">
        <v>66</v>
      </c>
      <c r="E5" s="41" t="s">
        <v>67</v>
      </c>
    </row>
    <row r="6">
      <c r="B6" s="20" t="s">
        <v>68</v>
      </c>
      <c r="C6" s="33">
        <v>149.0</v>
      </c>
      <c r="D6" s="33">
        <v>199.0</v>
      </c>
      <c r="E6" s="33">
        <v>249.0</v>
      </c>
    </row>
    <row r="7">
      <c r="B7" s="20" t="s">
        <v>69</v>
      </c>
      <c r="C7" s="16">
        <v>3.0</v>
      </c>
      <c r="D7" s="16">
        <v>5.0</v>
      </c>
      <c r="E7" s="16">
        <v>5.0</v>
      </c>
    </row>
    <row r="8">
      <c r="B8" s="21" t="s">
        <v>27</v>
      </c>
      <c r="C8" s="22">
        <v>10.0</v>
      </c>
      <c r="D8" s="22">
        <v>20.0</v>
      </c>
      <c r="E8" s="22">
        <v>20.0</v>
      </c>
    </row>
    <row r="9">
      <c r="B9" s="20" t="s">
        <v>70</v>
      </c>
      <c r="C9" s="16">
        <v>52.0</v>
      </c>
      <c r="D9" s="16">
        <v>52.0</v>
      </c>
      <c r="E9" s="16">
        <v>52.0</v>
      </c>
    </row>
    <row r="10">
      <c r="B10" s="21" t="s">
        <v>71</v>
      </c>
      <c r="C10" s="16">
        <v>50.0</v>
      </c>
      <c r="D10" s="16">
        <v>100.0</v>
      </c>
      <c r="E10" s="16">
        <v>100.0</v>
      </c>
    </row>
    <row r="11">
      <c r="B11" s="20" t="s">
        <v>72</v>
      </c>
      <c r="C11" s="16">
        <v>12.0</v>
      </c>
      <c r="D11" s="16">
        <v>12.0</v>
      </c>
      <c r="E11" s="16">
        <v>12.0</v>
      </c>
    </row>
    <row r="12">
      <c r="B12" s="21" t="s">
        <v>73</v>
      </c>
      <c r="C12" s="16">
        <v>0.0</v>
      </c>
      <c r="D12" s="16">
        <v>0.0</v>
      </c>
      <c r="E12" s="16">
        <v>1.0</v>
      </c>
    </row>
    <row r="14">
      <c r="B14" s="42" t="s">
        <v>74</v>
      </c>
    </row>
    <row r="15">
      <c r="B15" s="8" t="s">
        <v>75</v>
      </c>
      <c r="C15" s="43">
        <f>(C7*Model!C6*C8)+(C7*Model!C7*C8)+Model!C8+Model!C9+Model!C10+Model!C11</f>
        <v>0.15925</v>
      </c>
      <c r="D15" s="43">
        <f>(D7*Model!C6*D8)+(D7*Model!C7*D8)+Model!C8+Model!C9+Model!C10+Model!C11</f>
        <v>0.43925</v>
      </c>
      <c r="E15" s="43">
        <f>(E7*Model!C6*E8)+(E7*Model!C7*E8)+Model!C8+Model!C9+Model!C10+Model!C11</f>
        <v>0.43925</v>
      </c>
    </row>
    <row r="16">
      <c r="B16" s="13" t="s">
        <v>76</v>
      </c>
      <c r="C16" s="44">
        <f t="shared" ref="C16:E16" si="1">C9*C15</f>
        <v>8.281</v>
      </c>
      <c r="D16" s="44">
        <f t="shared" si="1"/>
        <v>22.841</v>
      </c>
      <c r="E16" s="44">
        <f t="shared" si="1"/>
        <v>22.841</v>
      </c>
    </row>
    <row r="17">
      <c r="B17" s="8" t="s">
        <v>77</v>
      </c>
      <c r="C17" s="45">
        <f>C10*C11*Model!C12</f>
        <v>12</v>
      </c>
      <c r="D17" s="45">
        <f>D10*D11*Model!C12</f>
        <v>24</v>
      </c>
      <c r="E17" s="45">
        <f>E10*E11*Model!C12</f>
        <v>24</v>
      </c>
    </row>
    <row r="18">
      <c r="B18" s="13" t="s">
        <v>78</v>
      </c>
      <c r="C18" s="44">
        <f>C11*Model!C13</f>
        <v>1.2</v>
      </c>
      <c r="D18" s="44">
        <f>D11*Model!C13</f>
        <v>1.2</v>
      </c>
      <c r="E18" s="44">
        <f>E11*Model!C13</f>
        <v>1.2</v>
      </c>
    </row>
    <row r="19">
      <c r="B19" s="8" t="s">
        <v>79</v>
      </c>
      <c r="C19" s="45">
        <f>C12*'GA4-GSC Tokens'!C24</f>
        <v>0</v>
      </c>
      <c r="D19" s="45">
        <f>D12*'GA4-GSC Tokens'!C24</f>
        <v>0</v>
      </c>
      <c r="E19" s="45">
        <f>E12*'GA4-GSC Tokens'!C24</f>
        <v>1.836</v>
      </c>
    </row>
    <row r="20">
      <c r="B20" s="26" t="s">
        <v>80</v>
      </c>
      <c r="C20" s="31">
        <f t="shared" ref="C20:E20" si="2">C16+C17+C18+C19</f>
        <v>21.481</v>
      </c>
      <c r="D20" s="31">
        <f t="shared" si="2"/>
        <v>48.041</v>
      </c>
      <c r="E20" s="31">
        <f t="shared" si="2"/>
        <v>49.877</v>
      </c>
    </row>
    <row r="21" ht="15.75" customHeight="1"/>
    <row r="22" ht="15.75" customHeight="1">
      <c r="B22" s="42" t="s">
        <v>81</v>
      </c>
    </row>
    <row r="23" ht="15.75" customHeight="1">
      <c r="B23" s="20" t="s">
        <v>82</v>
      </c>
      <c r="C23" s="46">
        <f t="shared" ref="C23:E23" si="3">C6-C20</f>
        <v>127.519</v>
      </c>
      <c r="D23" s="46">
        <f t="shared" si="3"/>
        <v>150.959</v>
      </c>
      <c r="E23" s="46">
        <f t="shared" si="3"/>
        <v>199.123</v>
      </c>
    </row>
    <row r="24" ht="15.75" customHeight="1">
      <c r="B24" s="21" t="s">
        <v>51</v>
      </c>
      <c r="C24" s="47">
        <f t="shared" ref="C24:E24" si="4">C23/C6</f>
        <v>0.8558322148</v>
      </c>
      <c r="D24" s="47">
        <f t="shared" si="4"/>
        <v>0.7585879397</v>
      </c>
      <c r="E24" s="47">
        <f t="shared" si="4"/>
        <v>0.7996907631</v>
      </c>
    </row>
    <row r="25" ht="15.75" customHeight="1">
      <c r="B25" s="8" t="s">
        <v>83</v>
      </c>
      <c r="C25" s="34">
        <f t="shared" ref="C25:E25" si="5">C20/C6</f>
        <v>0.1441677852</v>
      </c>
      <c r="D25" s="34">
        <f t="shared" si="5"/>
        <v>0.2414120603</v>
      </c>
      <c r="E25" s="34">
        <f t="shared" si="5"/>
        <v>0.2003092369</v>
      </c>
    </row>
    <row r="26" ht="15.75" customHeight="1"/>
    <row r="27" ht="30.0" customHeight="1">
      <c r="B27" s="15" t="s">
        <v>84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B3:E3"/>
    <mergeCell ref="B14:E14"/>
    <mergeCell ref="B22:E22"/>
    <mergeCell ref="B27:E2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0.0"/>
    <col customWidth="1" min="3" max="6" width="15.0"/>
    <col customWidth="1" min="7" max="26" width="8.71"/>
  </cols>
  <sheetData>
    <row r="1">
      <c r="A1" s="1"/>
      <c r="B1" s="1"/>
      <c r="C1" s="1"/>
      <c r="D1" s="1"/>
      <c r="E1" s="1"/>
      <c r="F1" s="1"/>
    </row>
    <row r="2" ht="19.5" customHeight="1">
      <c r="A2" s="1"/>
      <c r="B2" s="2" t="s">
        <v>85</v>
      </c>
    </row>
    <row r="3" ht="15.0" customHeight="1">
      <c r="A3" s="1"/>
      <c r="B3" s="3" t="s">
        <v>86</v>
      </c>
      <c r="C3" s="4"/>
      <c r="D3" s="4"/>
      <c r="E3" s="4"/>
      <c r="F3" s="4"/>
    </row>
    <row r="4">
      <c r="A4" s="1"/>
      <c r="B4" s="1"/>
      <c r="C4" s="1"/>
      <c r="D4" s="1"/>
      <c r="E4" s="1"/>
      <c r="F4" s="1"/>
    </row>
    <row r="5" ht="19.5" customHeight="1">
      <c r="A5" s="1"/>
      <c r="B5" s="5" t="s">
        <v>87</v>
      </c>
      <c r="C5" s="6"/>
      <c r="D5" s="6"/>
      <c r="E5" s="6"/>
      <c r="F5" s="7"/>
    </row>
    <row r="6" ht="15.0" customHeight="1">
      <c r="A6" s="1"/>
      <c r="B6" s="8" t="s">
        <v>88</v>
      </c>
      <c r="C6" s="48">
        <v>3.0</v>
      </c>
      <c r="D6" s="10" t="s">
        <v>89</v>
      </c>
      <c r="E6" s="11"/>
      <c r="F6" s="12"/>
    </row>
    <row r="7" ht="15.0" customHeight="1">
      <c r="A7" s="1"/>
      <c r="B7" s="13" t="s">
        <v>90</v>
      </c>
      <c r="C7" s="48">
        <v>3.75</v>
      </c>
      <c r="D7" s="14" t="s">
        <v>91</v>
      </c>
      <c r="E7" s="11"/>
      <c r="F7" s="12"/>
    </row>
    <row r="8" ht="15.0" customHeight="1">
      <c r="A8" s="1"/>
      <c r="B8" s="8" t="s">
        <v>92</v>
      </c>
      <c r="C8" s="48">
        <v>0.3</v>
      </c>
      <c r="D8" s="10" t="s">
        <v>93</v>
      </c>
      <c r="E8" s="11"/>
      <c r="F8" s="12"/>
    </row>
    <row r="9" ht="15.0" customHeight="1">
      <c r="A9" s="1"/>
      <c r="B9" s="13" t="s">
        <v>94</v>
      </c>
      <c r="C9" s="48">
        <v>15.0</v>
      </c>
      <c r="D9" s="14" t="s">
        <v>95</v>
      </c>
      <c r="E9" s="11"/>
      <c r="F9" s="12"/>
    </row>
    <row r="10">
      <c r="A10" s="1"/>
      <c r="B10" s="1"/>
      <c r="C10" s="1"/>
      <c r="D10" s="1"/>
      <c r="E10" s="1"/>
      <c r="F10" s="1"/>
    </row>
    <row r="11" ht="19.5" customHeight="1">
      <c r="A11" s="1"/>
      <c r="B11" s="5" t="s">
        <v>96</v>
      </c>
      <c r="C11" s="6"/>
      <c r="D11" s="6"/>
      <c r="E11" s="6"/>
      <c r="F11" s="7"/>
    </row>
    <row r="12" ht="15.0" customHeight="1">
      <c r="A12" s="1"/>
      <c r="B12" s="20" t="s">
        <v>97</v>
      </c>
      <c r="C12" s="16">
        <v>4000.0</v>
      </c>
      <c r="D12" s="10" t="s">
        <v>98</v>
      </c>
      <c r="E12" s="11"/>
      <c r="F12" s="12"/>
    </row>
    <row r="13" ht="15.0" customHeight="1">
      <c r="A13" s="1"/>
      <c r="B13" s="21" t="s">
        <v>99</v>
      </c>
      <c r="C13" s="16">
        <v>12.0</v>
      </c>
      <c r="D13" s="14" t="s">
        <v>100</v>
      </c>
      <c r="E13" s="11"/>
      <c r="F13" s="12"/>
    </row>
    <row r="14" ht="15.0" customHeight="1">
      <c r="A14" s="1"/>
      <c r="B14" s="20" t="s">
        <v>101</v>
      </c>
      <c r="C14" s="16">
        <v>600.0</v>
      </c>
      <c r="D14" s="10" t="s">
        <v>102</v>
      </c>
      <c r="E14" s="11"/>
      <c r="F14" s="12"/>
    </row>
    <row r="15" ht="15.0" customHeight="1">
      <c r="A15" s="1"/>
      <c r="B15" s="21" t="s">
        <v>103</v>
      </c>
      <c r="C15" s="16">
        <v>4000.0</v>
      </c>
      <c r="D15" s="14" t="s">
        <v>104</v>
      </c>
      <c r="E15" s="11"/>
      <c r="F15" s="12"/>
    </row>
    <row r="16" ht="15.0" customHeight="1">
      <c r="A16" s="1"/>
      <c r="B16" s="20" t="s">
        <v>105</v>
      </c>
      <c r="C16" s="16">
        <v>240.0</v>
      </c>
      <c r="D16" s="10" t="s">
        <v>106</v>
      </c>
      <c r="E16" s="11"/>
      <c r="F16" s="12"/>
    </row>
    <row r="17" ht="15.0" customHeight="1">
      <c r="A17" s="1"/>
      <c r="B17" s="21" t="s">
        <v>107</v>
      </c>
      <c r="C17" s="16">
        <v>350.0</v>
      </c>
      <c r="D17" s="14" t="s">
        <v>108</v>
      </c>
      <c r="E17" s="11"/>
      <c r="F17" s="12"/>
    </row>
    <row r="18">
      <c r="A18" s="1"/>
      <c r="B18" s="1"/>
      <c r="C18" s="1"/>
      <c r="D18" s="1"/>
      <c r="E18" s="1"/>
      <c r="F18" s="1"/>
    </row>
    <row r="19" ht="19.5" customHeight="1">
      <c r="A19" s="1"/>
      <c r="B19" s="5" t="s">
        <v>109</v>
      </c>
      <c r="C19" s="6"/>
      <c r="D19" s="6"/>
      <c r="E19" s="6"/>
      <c r="F19" s="7"/>
    </row>
    <row r="20" ht="15.0" customHeight="1">
      <c r="A20" s="1"/>
      <c r="B20" s="8" t="s">
        <v>110</v>
      </c>
      <c r="C20" s="25">
        <f>($C$12*$C$13/1000000)*$C$7</f>
        <v>0.18</v>
      </c>
      <c r="D20" s="17"/>
      <c r="E20" s="17"/>
      <c r="F20" s="17"/>
    </row>
    <row r="21" ht="15.0" customHeight="1">
      <c r="A21" s="1"/>
      <c r="B21" s="13" t="s">
        <v>111</v>
      </c>
      <c r="C21" s="24">
        <f>(12*$C$14/1000000)*$C$9</f>
        <v>0.108</v>
      </c>
      <c r="D21" s="18"/>
      <c r="E21" s="18"/>
      <c r="F21" s="18"/>
    </row>
    <row r="22" ht="15.0" customHeight="1">
      <c r="A22" s="1"/>
      <c r="B22" s="8" t="s">
        <v>112</v>
      </c>
      <c r="C22" s="25">
        <f>($C$16*$C$15/1000000)*$C$8</f>
        <v>0.288</v>
      </c>
      <c r="D22" s="17"/>
      <c r="E22" s="17"/>
      <c r="F22" s="17"/>
    </row>
    <row r="23" ht="15.0" customHeight="1">
      <c r="A23" s="1"/>
      <c r="B23" s="13" t="s">
        <v>113</v>
      </c>
      <c r="C23" s="24">
        <f>($C$16*$C$17/1000000)*$C$9</f>
        <v>1.26</v>
      </c>
      <c r="D23" s="18"/>
      <c r="E23" s="18"/>
      <c r="F23" s="18"/>
    </row>
    <row r="24" ht="15.0" customHeight="1">
      <c r="A24" s="1"/>
      <c r="B24" s="26" t="s">
        <v>114</v>
      </c>
      <c r="C24" s="27">
        <f>C20+C21+C22+C23</f>
        <v>1.836</v>
      </c>
      <c r="D24" s="28"/>
      <c r="E24" s="28"/>
      <c r="F24" s="28"/>
    </row>
    <row r="25" ht="15.75" customHeight="1">
      <c r="A25" s="1"/>
      <c r="B25" s="1"/>
      <c r="C25" s="1"/>
      <c r="D25" s="1"/>
      <c r="E25" s="1"/>
      <c r="F25" s="1"/>
    </row>
    <row r="26" ht="19.5" customHeight="1">
      <c r="A26" s="1"/>
      <c r="B26" s="5" t="s">
        <v>115</v>
      </c>
      <c r="C26" s="6"/>
      <c r="D26" s="6"/>
      <c r="E26" s="6"/>
      <c r="F26" s="7"/>
    </row>
    <row r="27" ht="15.0" customHeight="1">
      <c r="A27" s="1"/>
      <c r="B27" s="32" t="s">
        <v>116</v>
      </c>
      <c r="C27" s="32" t="s">
        <v>117</v>
      </c>
      <c r="D27" s="32" t="s">
        <v>118</v>
      </c>
      <c r="E27" s="32" t="s">
        <v>119</v>
      </c>
      <c r="F27" s="32"/>
    </row>
    <row r="28" ht="15.0" customHeight="1">
      <c r="A28" s="1"/>
      <c r="B28" s="20" t="s">
        <v>120</v>
      </c>
      <c r="C28" s="30">
        <f>Model!C39</f>
        <v>48.041</v>
      </c>
      <c r="D28" s="30">
        <f>Model!C39+$C$24</f>
        <v>49.877</v>
      </c>
      <c r="E28" s="46">
        <f>$C$24</f>
        <v>1.836</v>
      </c>
      <c r="F28" s="17"/>
    </row>
    <row r="29" ht="15.0" customHeight="1">
      <c r="A29" s="1"/>
      <c r="B29" s="21" t="s">
        <v>121</v>
      </c>
      <c r="C29" s="29">
        <f>249-Model!C39</f>
        <v>200.959</v>
      </c>
      <c r="D29" s="29">
        <f>249-(Model!C39+$C$24)</f>
        <v>199.123</v>
      </c>
      <c r="E29" s="49">
        <f>-$C$24</f>
        <v>-1.836</v>
      </c>
      <c r="F29" s="18"/>
    </row>
    <row r="30" ht="15.0" customHeight="1">
      <c r="A30" s="1"/>
      <c r="B30" s="20" t="s">
        <v>122</v>
      </c>
      <c r="C30" s="34">
        <f>(249-Model!C39)/249</f>
        <v>0.807064257</v>
      </c>
      <c r="D30" s="34">
        <f>(249-(Model!C39+$C$24))/249</f>
        <v>0.7996907631</v>
      </c>
      <c r="E30" s="50">
        <f>D30-C30</f>
        <v>-0.007373493976</v>
      </c>
      <c r="F30" s="17"/>
    </row>
    <row r="31" ht="15.75" customHeight="1">
      <c r="A31" s="1"/>
      <c r="B31" s="1"/>
      <c r="C31" s="1"/>
      <c r="D31" s="1"/>
      <c r="E31" s="1"/>
      <c r="F31" s="1"/>
    </row>
    <row r="32" ht="42.0" customHeight="1">
      <c r="A32" s="1"/>
      <c r="B32" s="15" t="s">
        <v>123</v>
      </c>
    </row>
    <row r="33" ht="15.75" customHeight="1">
      <c r="A33" s="1"/>
      <c r="B33" s="1"/>
      <c r="C33" s="1"/>
      <c r="D33" s="1"/>
      <c r="E33" s="1"/>
      <c r="F33" s="1"/>
    </row>
    <row r="34" ht="15.0" customHeight="1">
      <c r="A34" s="1"/>
      <c r="B34" s="39" t="s">
        <v>124</v>
      </c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18">
    <mergeCell ref="B2:F2"/>
    <mergeCell ref="B3:F3"/>
    <mergeCell ref="B5:F5"/>
    <mergeCell ref="D6:F6"/>
    <mergeCell ref="D7:F7"/>
    <mergeCell ref="D8:F8"/>
    <mergeCell ref="D9:F9"/>
    <mergeCell ref="B19:F19"/>
    <mergeCell ref="B26:F26"/>
    <mergeCell ref="B32:F32"/>
    <mergeCell ref="B34:F34"/>
    <mergeCell ref="B11:F11"/>
    <mergeCell ref="D12:F12"/>
    <mergeCell ref="D13:F13"/>
    <mergeCell ref="D14:F14"/>
    <mergeCell ref="D15:F15"/>
    <mergeCell ref="D16:F16"/>
    <mergeCell ref="D17:F17"/>
  </mergeCells>
  <printOptions/>
  <pageMargins bottom="1.0" footer="0.0" header="0.0" left="0.75" right="0.75" top="1.0"/>
  <pageSetup paperSize="9" orientation="portrait"/>
  <drawing r:id="rId1"/>
</worksheet>
</file>